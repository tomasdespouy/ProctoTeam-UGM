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  <sheet name="Tablas" sheetId="2" state="visible" r:id="rId4"/>
    <sheet name="Notas y fuen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ProctoTeam</author>
  </authors>
  <commentList>
    <comment ref="B8" authorId="0">
      <text>
        <r>
          <rPr>
            <sz val="10"/>
            <rFont val="Arial"/>
            <family val="2"/>
          </rPr>
          <t xml:space="preserve">Del código: StudentCam.tsx videoBitsPerSecond = 400_000 (0.4 Mbps).</t>
        </r>
      </text>
    </comment>
    <comment ref="B9" authorId="0">
      <text>
        <r>
          <rPr>
            <sz val="10"/>
            <rFont val="Arial"/>
            <family val="2"/>
          </rPr>
          <t xml:space="preserve">Del código: audioBitsPerSecond = 32_000. Presencial (sin audio): pon 0.</t>
        </r>
      </text>
    </comment>
    <comment ref="B10" authorId="0">
      <text>
        <r>
          <rPr>
            <sz val="10"/>
            <rFont val="Arial"/>
            <family val="2"/>
          </rPr>
          <t xml:space="preserve">Los videos deben conservarse 6 meses.</t>
        </r>
      </text>
    </comment>
    <comment ref="B13" authorId="0">
      <text>
        <r>
          <rPr>
            <sz val="10"/>
            <rFont val="Arial"/>
            <family val="2"/>
          </rPr>
          <t xml:space="preserve">Plan Pro incluye 100 GB de Storage. No es tope duro: sobre eso cobra excedente.</t>
        </r>
      </text>
    </comment>
    <comment ref="B17" authorId="0">
      <text>
        <r>
          <rPr>
            <sz val="10"/>
            <rFont val="Arial"/>
            <family val="2"/>
          </rPr>
          <t xml:space="preserve">R2 = egress gratis. Por eso lo dejamos en 0.</t>
        </r>
      </text>
    </comment>
    <comment ref="B22" authorId="0">
      <text>
        <r>
          <rPr>
            <sz val="10"/>
            <rFont val="Arial"/>
            <family val="2"/>
          </rPr>
          <t xml:space="preserve">Mbps x 3600 s / 8 bits / 1000 = GB por hora.</t>
        </r>
      </text>
    </comment>
    <comment ref="B26" authorId="0">
      <text>
        <r>
          <rPr>
            <sz val="10"/>
            <rFont val="Arial"/>
            <family val="2"/>
          </rPr>
          <t xml:space="preserve">Como nada se borra durante la retención, en régimen sostienes: GB/mes x meses de retención.</t>
        </r>
      </text>
    </comment>
  </commentList>
</comments>
</file>

<file path=xl/sharedStrings.xml><?xml version="1.0" encoding="utf-8"?>
<sst xmlns="http://schemas.openxmlformats.org/spreadsheetml/2006/main" count="70" uniqueCount="69">
  <si>
    <t xml:space="preserve">ProctoTeam UGM — Calculadora de almacenamiento de grabaciones</t>
  </si>
  <si>
    <t xml:space="preserve">Edita solo las celdas AZULES. Todo lo demás se recalcula solo. (Las amarillas son las que más se tocan.)</t>
  </si>
  <si>
    <t xml:space="preserve">1 · PARÁMETROS DEL EXAMEN</t>
  </si>
  <si>
    <t xml:space="preserve">Alumnos por examen</t>
  </si>
  <si>
    <t xml:space="preserve">Exámenes por mes</t>
  </si>
  <si>
    <t xml:space="preserve">Duración del examen (min)</t>
  </si>
  <si>
    <t xml:space="preserve">Bitrate video (Mbps)</t>
  </si>
  <si>
    <t xml:space="preserve">Bitrate audio (Mbps)</t>
  </si>
  <si>
    <t xml:space="preserve">Meses de retención</t>
  </si>
  <si>
    <t xml:space="preserve">2 · PARÁMETROS DE STORAGE (precios editables)</t>
  </si>
  <si>
    <t xml:space="preserve">Supabase — GB incluidos (plan Pro)</t>
  </si>
  <si>
    <t xml:space="preserve">Supabase — costo base ($/mes)</t>
  </si>
  <si>
    <t xml:space="preserve">Supabase — excedente ($/GB/mes)</t>
  </si>
  <si>
    <t xml:space="preserve">Cloudflare R2 — storage ($/GB/mes)</t>
  </si>
  <si>
    <t xml:space="preserve">Cloudflare R2 — egress ($/GB)</t>
  </si>
  <si>
    <t xml:space="preserve">Backblaze B2 — storage ($/GB/mes)</t>
  </si>
  <si>
    <t xml:space="preserve">3 · RESULTADOS (GB generados)</t>
  </si>
  <si>
    <t xml:space="preserve">Bitrate total por alumno (Mbps)</t>
  </si>
  <si>
    <t xml:space="preserve">GB por alumno-hora</t>
  </si>
  <si>
    <t xml:space="preserve">GB por alumno (este examen)</t>
  </si>
  <si>
    <t xml:space="preserve">GB por examen (todos los alumnos)</t>
  </si>
  <si>
    <t xml:space="preserve">GB por mes (tanda mensual)</t>
  </si>
  <si>
    <t xml:space="preserve">GB retenidos en régimen (a X meses)</t>
  </si>
  <si>
    <t xml:space="preserve">4 · COSTO MENSUAL EN RÉGIMEN</t>
  </si>
  <si>
    <t xml:space="preserve">Supabase — GB por sobre lo incluido</t>
  </si>
  <si>
    <t xml:space="preserve">Opción A · TODO en Supabase ($/mes)</t>
  </si>
  <si>
    <t xml:space="preserve">Opción B · Supabase (DB) + video en R2 ($/mes)</t>
  </si>
  <si>
    <t xml:space="preserve">Opción C · Supabase (DB) + video en B2 ($/mes)</t>
  </si>
  <si>
    <t xml:space="preserve">Ahorro mensual con la opción más barata (vs A)</t>
  </si>
  <si>
    <t xml:space="preserve">Ahorro anual con la opción más barata (vs A)</t>
  </si>
  <si>
    <t xml:space="preserve">Nota: R2/B2 son S3-compatibles. La recomendación operativa es dejar en Supabase la DB + evidencia caliente</t>
  </si>
  <si>
    <t xml:space="preserve">(últimos días) y mover las grabaciones a Cloudflare R2 tras X días (ver hoja 'Plan R2').</t>
  </si>
  <si>
    <t xml:space="preserve">Tablas de GB generados  (dinámicas: usan la duración/bitrate de la hoja Calculadora)</t>
  </si>
  <si>
    <t xml:space="preserve">Tabla 1 — GB por 1 examen (según duración en Calculadora)</t>
  </si>
  <si>
    <t xml:space="preserve">Alumnos</t>
  </si>
  <si>
    <t xml:space="preserve">GB por examen</t>
  </si>
  <si>
    <t xml:space="preserve">Tabla 2 — GB escalando por cantidad de exámenes</t>
  </si>
  <si>
    <t xml:space="preserve">1 examen</t>
  </si>
  <si>
    <t xml:space="preserve">3 exámenes</t>
  </si>
  <si>
    <t xml:space="preserve">10 exámenes</t>
  </si>
  <si>
    <t xml:space="preserve">Tabla 3 — Acumulación mes a mes (usa 'GB por mes' de la Calculadora)</t>
  </si>
  <si>
    <t xml:space="preserve">Concepto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</si>
  <si>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</si>
  <si>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</si>
  <si>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</si>
  <si>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</si>
  <si>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</si>
  <si>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</si>
  <si>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GB acumulados</t>
  </si>
  <si>
    <t xml:space="preserve">¿Supera 100 GB?</t>
  </si>
  <si>
    <t xml:space="preserve">Regla mental:  1 GB ≈ 5,3 horas-alumno  ·  100 GB ≈ 526 horas-alumno de grabación.</t>
  </si>
  <si>
    <t xml:space="preserve">Notas, supuestos y fuentes</t>
  </si>
  <si>
    <t xml:space="preserve">SUPUESTO TÉCNICO (verificado en el código):</t>
  </si>
  <si>
    <t xml:space="preserve">• Solo se graba la WEBCAM del alumno. La pantalla compartida se ve en vivo pero NO se graba.</t>
  </si>
  <si>
    <t xml:space="preserve">• Bitrate: video 0.4 Mbps + audio 0.032 Mbps ≈ 0.432 Mbps  (src/components/proctoring/StudentCam.tsx).</t>
  </si>
  <si>
    <t xml:space="preserve">• Formato WebM (VP8/opus), 640x480, subido en chunks de 15 s a Supabase Storage (bucket 'evidences').</t>
  </si>
  <si>
    <t xml:space="preserve">• GB por alumno-hora = 0,432 Mbps × 3600 s ÷ 8 ÷ 1000 ≈ 0,19 GB.  Presencial sin audio ≈ 0,18 GB.</t>
  </si>
  <si>
    <t xml:space="preserve">• Si en el futuro se graba también la pantalla, el almacenamiento se DUPLICA o TRIPLICA.</t>
  </si>
  <si>
    <t xml:space="preserve">SUPABASE:</t>
  </si>
  <si>
    <t xml:space="preserve">• Los 100 GB del plan Pro ($25/mes) son 'incluidos', NO un tope duro. Sobre eso: ~$0,021/GB/mes + egress.</t>
  </si>
  <si>
    <t xml:space="preserve">STORAGE COMPLEMENTARIO (video frío, retención 6 meses):</t>
  </si>
  <si>
    <t xml:space="preserve">• Cloudflare R2: $0,015/GB/mes, EGRESS GRATIS, S3-compatible (recomendado).</t>
  </si>
  <si>
    <t xml:space="preserve">• Backblaze B2: ~$0,006/GB/mes, egress gratis hasta 3× lo guardado / gratis vía Cloudflare CDN (el más barato).</t>
  </si>
  <si>
    <t xml:space="preserve">• Wasabi: ~$0,007/GB/mes pero mínimo $6,99/TB y egress con 'reasonable use' (más riesgoso).</t>
  </si>
  <si>
    <t xml:space="preserve">FUENTES:</t>
  </si>
  <si>
    <t xml:space="preserve">• Supabase pricing: https://supabase.com/pricing  |  https://supabase.com/docs/guides/storage/pricing</t>
  </si>
  <si>
    <t xml:space="preserve">• Cloudflare R2 pricing: https://developers.cloudflare.com/r2/pricing/</t>
  </si>
  <si>
    <t xml:space="preserve">• Backblaze B2 pricing: https://www.backblaze.com/cloud-storage/pricing</t>
  </si>
  <si>
    <t xml:space="preserve">Generado con Claude Code — 2026-07-07.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</si>
</sst>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0&quot; Mbps&quot;"/>
    <numFmt numFmtId="167" formatCode="\$#,##0.00"/>
    <numFmt numFmtId="168" formatCode="\$#,##0.000"/>
    <numFmt numFmtId="169" formatCode="#,##0.00&quot; GB&quot;"/>
    <numFmt numFmtId="170" formatCode="#,##0.0&quot; GB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6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52"/>
  </cols>
  <sheetData>
    <row r="1" customFormat="false" ht="24" hidden="false" customHeight="true" outlineLevel="0" collapsed="false">
      <c r="B1" s="1" t="s">
        <v>0</v>
      </c>
      <c r="C1" s="1"/>
      <c r="D1" s="1"/>
      <c r="E1" s="1"/>
    </row>
    <row r="2" customFormat="false" ht="15" hidden="false" customHeight="false" outlineLevel="0" collapsed="false">
      <c r="B2" s="2" t="s">
        <v>1</v>
      </c>
      <c r="C2" s="2"/>
      <c r="D2" s="2"/>
      <c r="E2" s="2"/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n">
        <v>30</v>
      </c>
    </row>
    <row r="6" customFormat="false" ht="15" hidden="false" customHeight="false" outlineLevel="0" collapsed="false">
      <c r="B6" s="5" t="s">
        <v>4</v>
      </c>
      <c r="C6" s="6" t="n">
        <v>10</v>
      </c>
    </row>
    <row r="7" customFormat="false" ht="15" hidden="false" customHeight="false" outlineLevel="0" collapsed="false">
      <c r="B7" s="5" t="s">
        <v>5</v>
      </c>
      <c r="C7" s="6" t="n">
        <v>60</v>
      </c>
    </row>
    <row r="8" customFormat="false" ht="15" hidden="false" customHeight="false" outlineLevel="0" collapsed="false">
      <c r="B8" s="5" t="s">
        <v>6</v>
      </c>
      <c r="C8" s="7" t="n">
        <v>0.4</v>
      </c>
    </row>
    <row r="9" customFormat="false" ht="15" hidden="false" customHeight="false" outlineLevel="0" collapsed="false">
      <c r="B9" s="5" t="s">
        <v>7</v>
      </c>
      <c r="C9" s="7" t="n">
        <v>0.032</v>
      </c>
    </row>
    <row r="10" customFormat="false" ht="15" hidden="false" customHeight="false" outlineLevel="0" collapsed="false">
      <c r="B10" s="5" t="s">
        <v>8</v>
      </c>
      <c r="C10" s="6" t="n">
        <v>6</v>
      </c>
    </row>
    <row r="12" customFormat="false" ht="15" hidden="false" customHeight="false" outlineLevel="0" collapsed="false">
      <c r="B12" s="3" t="s">
        <v>9</v>
      </c>
      <c r="C12" s="4"/>
    </row>
    <row r="13" customFormat="false" ht="15" hidden="false" customHeight="false" outlineLevel="0" collapsed="false">
      <c r="B13" s="5" t="s">
        <v>10</v>
      </c>
      <c r="C13" s="8" t="n">
        <v>100</v>
      </c>
    </row>
    <row r="14" customFormat="false" ht="15" hidden="false" customHeight="false" outlineLevel="0" collapsed="false">
      <c r="B14" s="5" t="s">
        <v>11</v>
      </c>
      <c r="C14" s="9" t="n">
        <v>25</v>
      </c>
    </row>
    <row r="15" customFormat="false" ht="15" hidden="false" customHeight="false" outlineLevel="0" collapsed="false">
      <c r="B15" s="5" t="s">
        <v>12</v>
      </c>
      <c r="C15" s="10" t="n">
        <v>0.021</v>
      </c>
    </row>
    <row r="16" customFormat="false" ht="15" hidden="false" customHeight="false" outlineLevel="0" collapsed="false">
      <c r="B16" s="5" t="s">
        <v>13</v>
      </c>
      <c r="C16" s="10" t="n">
        <v>0.015</v>
      </c>
    </row>
    <row r="17" customFormat="false" ht="15" hidden="false" customHeight="false" outlineLevel="0" collapsed="false">
      <c r="B17" s="5" t="s">
        <v>14</v>
      </c>
      <c r="C17" s="10" t="n">
        <v>0</v>
      </c>
    </row>
    <row r="18" customFormat="false" ht="15" hidden="false" customHeight="false" outlineLevel="0" collapsed="false">
      <c r="B18" s="5" t="s">
        <v>15</v>
      </c>
      <c r="C18" s="10" t="n">
        <v>0.006</v>
      </c>
    </row>
    <row r="20" customFormat="false" ht="15" hidden="false" customHeight="false" outlineLevel="0" collapsed="false">
      <c r="B20" s="3" t="s">
        <v>16</v>
      </c>
      <c r="C20" s="4"/>
    </row>
    <row r="21" customFormat="false" ht="15" hidden="false" customHeight="false" outlineLevel="0" collapsed="false">
      <c r="B21" s="5" t="s">
        <v>17</v>
      </c>
      <c r="C21" s="11" t="n">
        <f aca="false">C8+C9</f>
        <v>0.432</v>
      </c>
    </row>
    <row r="22" customFormat="false" ht="15" hidden="false" customHeight="false" outlineLevel="0" collapsed="false">
      <c r="B22" s="5" t="s">
        <v>18</v>
      </c>
      <c r="C22" s="12" t="n">
        <f aca="false">C21*3600/8/1000</f>
        <v>0.1944</v>
      </c>
    </row>
    <row r="23" customFormat="false" ht="15" hidden="false" customHeight="false" outlineLevel="0" collapsed="false">
      <c r="B23" s="5" t="s">
        <v>19</v>
      </c>
      <c r="C23" s="12" t="n">
        <f aca="false">C21*(C7*60)/8/1000</f>
        <v>0.1944</v>
      </c>
    </row>
    <row r="24" customFormat="false" ht="15" hidden="false" customHeight="false" outlineLevel="0" collapsed="false">
      <c r="B24" s="13" t="s">
        <v>20</v>
      </c>
      <c r="C24" s="14" t="n">
        <f aca="false">C23*C5</f>
        <v>5.832</v>
      </c>
    </row>
    <row r="25" customFormat="false" ht="15" hidden="false" customHeight="false" outlineLevel="0" collapsed="false">
      <c r="B25" s="13" t="s">
        <v>21</v>
      </c>
      <c r="C25" s="14" t="n">
        <f aca="false">C24*C6</f>
        <v>58.32</v>
      </c>
    </row>
    <row r="26" customFormat="false" ht="15" hidden="false" customHeight="false" outlineLevel="0" collapsed="false">
      <c r="B26" s="13" t="s">
        <v>22</v>
      </c>
      <c r="C26" s="15" t="n">
        <f aca="false">C25*C10</f>
        <v>349.92</v>
      </c>
    </row>
    <row r="28" customFormat="false" ht="15" hidden="false" customHeight="false" outlineLevel="0" collapsed="false">
      <c r="B28" s="3" t="s">
        <v>23</v>
      </c>
      <c r="C28" s="4"/>
    </row>
    <row r="29" customFormat="false" ht="15" hidden="false" customHeight="false" outlineLevel="0" collapsed="false">
      <c r="B29" s="5" t="s">
        <v>24</v>
      </c>
      <c r="C29" s="12" t="n">
        <f aca="false">MAX(0,C26-C13)</f>
        <v>249.92</v>
      </c>
    </row>
    <row r="30" customFormat="false" ht="15" hidden="false" customHeight="false" outlineLevel="0" collapsed="false">
      <c r="B30" s="13" t="s">
        <v>25</v>
      </c>
      <c r="C30" s="16" t="n">
        <f aca="false">C14+C29*C15</f>
        <v>30.24832</v>
      </c>
    </row>
    <row r="31" customFormat="false" ht="15" hidden="false" customHeight="false" outlineLevel="0" collapsed="false">
      <c r="B31" s="13" t="s">
        <v>26</v>
      </c>
      <c r="C31" s="16" t="n">
        <f aca="false">C14+C26*C16+C26*C17</f>
        <v>30.2488</v>
      </c>
    </row>
    <row r="32" customFormat="false" ht="15" hidden="false" customHeight="false" outlineLevel="0" collapsed="false">
      <c r="B32" s="13" t="s">
        <v>27</v>
      </c>
      <c r="C32" s="16" t="n">
        <f aca="false">C14+C26*C18</f>
        <v>27.09952</v>
      </c>
    </row>
    <row r="33" customFormat="false" ht="15" hidden="false" customHeight="false" outlineLevel="0" collapsed="false">
      <c r="B33" s="13" t="s">
        <v>28</v>
      </c>
      <c r="C33" s="17" t="n">
        <f aca="false">C30-MIN(C31,C32)</f>
        <v>3.1488</v>
      </c>
    </row>
    <row r="34" customFormat="false" ht="15" hidden="false" customHeight="false" outlineLevel="0" collapsed="false">
      <c r="B34" s="13" t="s">
        <v>29</v>
      </c>
      <c r="C34" s="17" t="n">
        <f aca="false">(C30-MIN(C31,C32))*12</f>
        <v>37.7856</v>
      </c>
    </row>
    <row r="36" customFormat="false" ht="15" hidden="false" customHeight="false" outlineLevel="0" collapsed="false">
      <c r="B36" s="2" t="s">
        <v>30</v>
      </c>
      <c r="C36" s="2"/>
      <c r="D36" s="2"/>
      <c r="E36" s="2"/>
    </row>
    <row r="37" customFormat="false" ht="15" hidden="false" customHeight="false" outlineLevel="0" collapsed="false">
      <c r="B37" s="2" t="s">
        <v>31</v>
      </c>
      <c r="C37" s="2"/>
      <c r="D37" s="2"/>
      <c r="E37" s="2"/>
    </row>
  </sheetData>
  <mergeCells count="4">
    <mergeCell ref="B1:E1"/>
    <mergeCell ref="B2:E2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1" customFormat="false" ht="21.75" hidden="false" customHeight="true" outlineLevel="0" collapsed="false">
      <c r="B1" s="18" t="s">
        <v>32</v>
      </c>
      <c r="C1" s="18"/>
      <c r="D1" s="18"/>
      <c r="E1" s="18"/>
      <c r="F1" s="18"/>
      <c r="G1" s="18"/>
    </row>
    <row r="3" customFormat="false" ht="15" hidden="false" customHeight="false" outlineLevel="0" collapsed="false">
      <c r="B3" s="19" t="s">
        <v>33</v>
      </c>
      <c r="C3" s="19"/>
      <c r="D3" s="19"/>
    </row>
    <row r="4" customFormat="false" ht="15" hidden="false" customHeight="false" outlineLevel="0" collapsed="false">
      <c r="B4" s="20" t="s">
        <v>34</v>
      </c>
      <c r="C4" s="20" t="s">
        <v>35</v>
      </c>
    </row>
    <row r="5" customFormat="false" ht="15" hidden="false" customHeight="false" outlineLevel="0" collapsed="false">
      <c r="B5" s="21" t="n">
        <v>1</v>
      </c>
      <c r="C5" s="22" t="n">
        <f aca="false">B5*Calculadora!$C$23</f>
        <v>0.1944</v>
      </c>
    </row>
    <row r="6" customFormat="false" ht="15" hidden="false" customHeight="false" outlineLevel="0" collapsed="false">
      <c r="B6" s="21" t="n">
        <v>10</v>
      </c>
      <c r="C6" s="22" t="n">
        <f aca="false">B6*Calculadora!$C$23</f>
        <v>1.944</v>
      </c>
    </row>
    <row r="7" customFormat="false" ht="15" hidden="false" customHeight="false" outlineLevel="0" collapsed="false">
      <c r="B7" s="21" t="n">
        <v>30</v>
      </c>
      <c r="C7" s="22" t="n">
        <f aca="false">B7*Calculadora!$C$23</f>
        <v>5.832</v>
      </c>
    </row>
    <row r="8" customFormat="false" ht="15" hidden="false" customHeight="false" outlineLevel="0" collapsed="false">
      <c r="B8" s="21" t="n">
        <v>50</v>
      </c>
      <c r="C8" s="22" t="n">
        <f aca="false">B8*Calculadora!$C$23</f>
        <v>9.72</v>
      </c>
    </row>
    <row r="9" customFormat="false" ht="15" hidden="false" customHeight="false" outlineLevel="0" collapsed="false">
      <c r="B9" s="21" t="n">
        <v>100</v>
      </c>
      <c r="C9" s="22" t="n">
        <f aca="false">B9*Calculadora!$C$23</f>
        <v>19.44</v>
      </c>
    </row>
    <row r="12" customFormat="false" ht="15" hidden="false" customHeight="false" outlineLevel="0" collapsed="false">
      <c r="B12" s="19" t="s">
        <v>36</v>
      </c>
      <c r="C12" s="19"/>
      <c r="D12" s="19"/>
      <c r="E12" s="19"/>
    </row>
    <row r="13" customFormat="false" ht="15" hidden="false" customHeight="false" outlineLevel="0" collapsed="false">
      <c r="B13" s="20" t="s">
        <v>34</v>
      </c>
      <c r="C13" s="20" t="s">
        <v>37</v>
      </c>
      <c r="D13" s="20" t="s">
        <v>38</v>
      </c>
      <c r="E13" s="20" t="s">
        <v>39</v>
      </c>
    </row>
    <row r="14" customFormat="false" ht="15" hidden="false" customHeight="false" outlineLevel="0" collapsed="false">
      <c r="B14" s="21" t="n">
        <v>1</v>
      </c>
      <c r="C14" s="22" t="n">
        <f aca="false">$B14*1*Calculadora!$C$23</f>
        <v>0.1944</v>
      </c>
      <c r="D14" s="22" t="n">
        <f aca="false">$B14*3*Calculadora!$C$23</f>
        <v>0.5832</v>
      </c>
      <c r="E14" s="22" t="n">
        <f aca="false">$B14*10*Calculadora!$C$23</f>
        <v>1.944</v>
      </c>
    </row>
    <row r="15" customFormat="false" ht="15" hidden="false" customHeight="false" outlineLevel="0" collapsed="false">
      <c r="B15" s="21" t="n">
        <v>10</v>
      </c>
      <c r="C15" s="22" t="n">
        <f aca="false">$B15*1*Calculadora!$C$23</f>
        <v>1.944</v>
      </c>
      <c r="D15" s="22" t="n">
        <f aca="false">$B15*3*Calculadora!$C$23</f>
        <v>5.832</v>
      </c>
      <c r="E15" s="22" t="n">
        <f aca="false">$B15*10*Calculadora!$C$23</f>
        <v>19.44</v>
      </c>
    </row>
    <row r="16" customFormat="false" ht="15" hidden="false" customHeight="false" outlineLevel="0" collapsed="false">
      <c r="B16" s="21" t="n">
        <v>30</v>
      </c>
      <c r="C16" s="22" t="n">
        <f aca="false">$B16*1*Calculadora!$C$23</f>
        <v>5.832</v>
      </c>
      <c r="D16" s="22" t="n">
        <f aca="false">$B16*3*Calculadora!$C$23</f>
        <v>17.496</v>
      </c>
      <c r="E16" s="22" t="n">
        <f aca="false">$B16*10*Calculadora!$C$23</f>
        <v>58.32</v>
      </c>
    </row>
    <row r="17" customFormat="false" ht="15" hidden="false" customHeight="false" outlineLevel="0" collapsed="false">
      <c r="B17" s="21" t="n">
        <v>50</v>
      </c>
      <c r="C17" s="22" t="n">
        <f aca="false">$B17*1*Calculadora!$C$23</f>
        <v>9.72</v>
      </c>
      <c r="D17" s="22" t="n">
        <f aca="false">$B17*3*Calculadora!$C$23</f>
        <v>29.16</v>
      </c>
      <c r="E17" s="22" t="n">
        <f aca="false">$B17*10*Calculadora!$C$23</f>
        <v>97.2</v>
      </c>
    </row>
    <row r="18" customFormat="false" ht="15" hidden="false" customHeight="false" outlineLevel="0" collapsed="false">
      <c r="B18" s="21" t="n">
        <v>100</v>
      </c>
      <c r="C18" s="22" t="n">
        <f aca="false">$B18*1*Calculadora!$C$23</f>
        <v>19.44</v>
      </c>
      <c r="D18" s="22" t="n">
        <f aca="false">$B18*3*Calculadora!$C$23</f>
        <v>58.32</v>
      </c>
      <c r="E18" s="22" t="n">
        <f aca="false">$B18*10*Calculadora!$C$23</f>
        <v>194.4</v>
      </c>
    </row>
    <row r="21" customFormat="false" ht="15" hidden="false" customHeight="false" outlineLevel="0" collapsed="false">
      <c r="B21" s="19" t="s">
        <v>40</v>
      </c>
      <c r="C21" s="19"/>
      <c r="D21" s="19"/>
      <c r="E21" s="19"/>
      <c r="F21" s="19"/>
      <c r="G21" s="19"/>
    </row>
    <row r="22" customFormat="false" ht="15" hidden="false" customHeight="false" outlineLevel="0" collapsed="false">
      <c r="B22" s="20" t="s">
        <v>41</v>
      </c>
      <c r="C22" s="20" t="s">
        <v>42</v>
      </c>
      <c r="D22" s="20" t="s">
        <v>43</v>
      </c>
      <c r="E22" s="20" t="s">
        <v>44</v>
      </c>
      <c r="F22" s="20" t="s">
        <v>45</v>
      </c>
      <c r="G22" s="20" t="s">
        <v>46</v>
      </c>
      <c r="H22" s="20" t="s">
        <v>47</v>
      </c>
    </row>
    <row r="23" customFormat="false" ht="15" hidden="false" customHeight="false" outlineLevel="0" collapsed="false">
      <c r="B23" s="21" t="s">
        <v>48</v>
      </c>
      <c r="C23" s="22" t="n">
        <f aca="false">Calculadora!$C$25*1</f>
        <v>58.32</v>
      </c>
      <c r="D23" s="22" t="n">
        <f aca="false">Calculadora!$C$25*2</f>
        <v>116.64</v>
      </c>
      <c r="E23" s="22" t="n">
        <f aca="false">Calculadora!$C$25*3</f>
        <v>174.96</v>
      </c>
      <c r="F23" s="22" t="n">
        <f aca="false">Calculadora!$C$25*4</f>
        <v>233.28</v>
      </c>
      <c r="G23" s="22" t="n">
        <f aca="false">Calculadora!$C$25*5</f>
        <v>291.6</v>
      </c>
      <c r="H23" s="22" t="n">
        <f aca="false">Calculadora!$C$25*6</f>
        <v>349.92</v>
      </c>
    </row>
    <row r="24" customFormat="false" ht="15" hidden="false" customHeight="false" outlineLevel="0" collapsed="false">
      <c r="B24" s="21" t="s">
        <v>49</v>
      </c>
      <c r="C24" s="23" t="str">
        <f aca="false">IF(C23&gt;Calculadora!$C$13,"SÍ","no")</f>
        <v>no</v>
      </c>
      <c r="D24" s="23" t="str">
        <f aca="false">IF(D23&gt;Calculadora!$C$13,"SÍ","no")</f>
        <v>SÍ</v>
      </c>
      <c r="E24" s="23" t="str">
        <f aca="false">IF(E23&gt;Calculadora!$C$13,"SÍ","no")</f>
        <v>SÍ</v>
      </c>
      <c r="F24" s="23" t="str">
        <f aca="false">IF(F23&gt;Calculadora!$C$13,"SÍ","no")</f>
        <v>SÍ</v>
      </c>
      <c r="G24" s="23" t="str">
        <f aca="false">IF(G23&gt;Calculadora!$C$13,"SÍ","no")</f>
        <v>SÍ</v>
      </c>
      <c r="H24" s="23" t="str">
        <f aca="false">IF(H23&gt;Calculadora!$C$13,"SÍ","no")</f>
        <v>SÍ</v>
      </c>
    </row>
    <row r="26" customFormat="false" ht="15" hidden="false" customHeight="false" outlineLevel="0" collapsed="false">
      <c r="B26" s="2" t="s">
        <v>50</v>
      </c>
      <c r="C26" s="2"/>
      <c r="D26" s="2"/>
      <c r="E26" s="2"/>
      <c r="F26" s="2"/>
      <c r="G26" s="2"/>
      <c r="H26" s="2"/>
    </row>
  </sheetData>
  <mergeCells count="5">
    <mergeCell ref="B1:G1"/>
    <mergeCell ref="B3:D3"/>
    <mergeCell ref="B12:E12"/>
    <mergeCell ref="B21:G21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21.75" hidden="false" customHeight="true" outlineLevel="0" collapsed="false">
      <c r="B1" s="24" t="s">
        <v>51</v>
      </c>
    </row>
    <row r="2" customFormat="false" ht="15" hidden="false" customHeight="false" outlineLevel="0" collapsed="false">
      <c r="B2" s="5"/>
    </row>
    <row r="3" customFormat="false" ht="15" hidden="false" customHeight="false" outlineLevel="0" collapsed="false">
      <c r="B3" s="25" t="s">
        <v>52</v>
      </c>
    </row>
    <row r="4" customFormat="false" ht="15" hidden="false" customHeight="false" outlineLevel="0" collapsed="false">
      <c r="B4" s="5" t="s">
        <v>53</v>
      </c>
    </row>
    <row r="5" customFormat="false" ht="15" hidden="false" customHeight="false" outlineLevel="0" collapsed="false">
      <c r="B5" s="5" t="s">
        <v>54</v>
      </c>
    </row>
    <row r="6" customFormat="false" ht="15" hidden="false" customHeight="false" outlineLevel="0" collapsed="false">
      <c r="B6" s="5" t="s">
        <v>55</v>
      </c>
    </row>
    <row r="7" customFormat="false" ht="15" hidden="false" customHeight="false" outlineLevel="0" collapsed="false">
      <c r="B7" s="5" t="s">
        <v>56</v>
      </c>
    </row>
    <row r="8" customFormat="false" ht="15" hidden="false" customHeight="false" outlineLevel="0" collapsed="false">
      <c r="B8" s="5" t="s">
        <v>57</v>
      </c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25" t="s">
        <v>58</v>
      </c>
    </row>
    <row r="11" customFormat="false" ht="15" hidden="false" customHeight="false" outlineLevel="0" collapsed="false">
      <c r="B11" s="5" t="s">
        <v>59</v>
      </c>
    </row>
    <row r="12" customFormat="false" ht="15" hidden="false" customHeight="false" outlineLevel="0" collapsed="false">
      <c r="B12" s="5"/>
    </row>
    <row r="13" customFormat="false" ht="15" hidden="false" customHeight="false" outlineLevel="0" collapsed="false">
      <c r="B13" s="25" t="s">
        <v>60</v>
      </c>
    </row>
    <row r="14" customFormat="false" ht="15" hidden="false" customHeight="false" outlineLevel="0" collapsed="false">
      <c r="B14" s="5" t="s">
        <v>61</v>
      </c>
    </row>
    <row r="15" customFormat="false" ht="15" hidden="false" customHeight="false" outlineLevel="0" collapsed="false">
      <c r="B15" s="5" t="s">
        <v>62</v>
      </c>
    </row>
    <row r="16" customFormat="false" ht="15" hidden="false" customHeight="false" outlineLevel="0" collapsed="false">
      <c r="B16" s="5" t="s">
        <v>63</v>
      </c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25" t="s">
        <v>64</v>
      </c>
    </row>
    <row r="19" customFormat="false" ht="15" hidden="false" customHeight="false" outlineLevel="0" collapsed="false">
      <c r="B19" s="5" t="s">
        <v>65</v>
      </c>
    </row>
    <row r="20" customFormat="false" ht="15" hidden="false" customHeight="false" outlineLevel="0" collapsed="false">
      <c r="B20" s="5" t="s">
        <v>66</v>
      </c>
    </row>
    <row r="21" customFormat="false" ht="15" hidden="false" customHeight="false" outlineLevel="0" collapsed="false">
      <c r="B21" s="5" t="s">
        <v>67</v>
      </c>
    </row>
    <row r="22" customFormat="false" ht="15" hidden="false" customHeight="false" outlineLevel="0" collapsed="false">
      <c r="B22" s="5"/>
    </row>
    <row r="23" customFormat="false" ht="15" hidden="false" customHeight="false" outlineLevel="0" collapsed="false">
      <c r="B23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2026-07-07T13:52:13Z</dcterms:created>
  <dc:creator>openpyxl</dc:creator>
  <dc:description/>
  <dc:language>es-AR</dc:language>
  <cp:lastModifiedBy/>
  <dcterms:modified xsi:type="dcterms:W3CDTF">2026-07-07T13:52:13Z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